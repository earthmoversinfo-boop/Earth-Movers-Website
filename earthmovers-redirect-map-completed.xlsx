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w to use" sheetId="1" state="visible" r:id="rId1"/>
    <sheet name="Redirect Map" sheetId="2" state="visible" r:id="rId2"/>
    <sheet name="Summary" sheetId="3" state="visible" r:id="rId3"/>
  </sheets>
  <definedNames>
    <definedName name="_xlnm._FilterDatabase" localSheetId="1" hidden="1">'Redirect Map'!$A$1:$I$75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i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  <font/>
    <font>
      <b val="1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D0D0D0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0" fontId="8" fillId="6" borderId="1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0" fontId="8" fillId="6" borderId="1" applyAlignment="1" pivotButton="0" quotePrefix="0" xfId="0">
      <alignment horizontal="center" vertical="bottom"/>
    </xf>
    <xf numFmtId="0" fontId="7" fillId="2" borderId="0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24" min="1" max="1"/>
    <col width="95" customWidth="1" style="24" min="2" max="2"/>
    <col width="22" customWidth="1" style="24" min="3" max="3"/>
  </cols>
  <sheetData>
    <row r="1" ht="17.35" customHeight="1" s="25">
      <c r="A1" s="26" t="inlineStr">
        <is>
          <t>Earth Movers International - Redirect Map for the new website</t>
        </is>
      </c>
    </row>
    <row r="3" ht="15" customHeight="1" s="25">
      <c r="A3" s="24" t="inlineStr">
        <is>
          <t>Source: Google Search Console, earthmoversint.com, 29 May - 28 Aug 2026 (74 URLs)</t>
        </is>
      </c>
    </row>
    <row r="5" ht="15" customHeight="1" s="25">
      <c r="A5" s="27" t="inlineStr">
        <is>
          <t>WHAT TO DO</t>
        </is>
      </c>
    </row>
    <row r="6" ht="15" customHeight="1" s="25">
      <c r="A6" s="24" t="inlineStr">
        <is>
          <t>1.</t>
        </is>
      </c>
      <c r="B6" s="24" t="inlineStr">
        <is>
          <t>Open the "Redirect Map" tab.</t>
        </is>
      </c>
    </row>
    <row r="7" ht="15" customHeight="1" s="25">
      <c r="A7" s="24" t="inlineStr">
        <is>
          <t>2.</t>
        </is>
      </c>
      <c r="B7" s="24" t="inlineStr">
        <is>
          <t>Work down from Tier A. Fill in column H (New URL) for every row.</t>
        </is>
      </c>
    </row>
    <row r="8" ht="15" customHeight="1" s="25">
      <c r="A8" s="24" t="inlineStr">
        <is>
          <t>3.</t>
        </is>
      </c>
      <c r="B8" s="24" t="inlineStr">
        <is>
          <t>Column H is the only column you edit. It is shaded yellow.</t>
        </is>
      </c>
    </row>
    <row r="9" ht="15" customHeight="1" s="25">
      <c r="A9" s="24" t="inlineStr">
        <is>
          <t>4.</t>
        </is>
      </c>
      <c r="B9" s="24" t="inlineStr">
        <is>
          <t>Give the completed column to whoever sets up the 301 redirects.</t>
        </is>
      </c>
    </row>
    <row r="11" ht="15" customHeight="1" s="25">
      <c r="A11" s="27" t="inlineStr">
        <is>
          <t>TIERS</t>
        </is>
      </c>
    </row>
    <row r="12" ht="15" customHeight="1" s="25">
      <c r="A12" s="24" t="inlineStr">
        <is>
          <t>A</t>
        </is>
      </c>
      <c r="B12" s="24" t="inlineStr">
        <is>
          <t>Must preserve. Keep the URL identical on the new site if at all possible.</t>
        </is>
      </c>
      <c r="C12" s="24" t="inlineStr">
        <is>
          <t>14 URLs / 369 clicks</t>
        </is>
      </c>
    </row>
    <row r="13" ht="15" customHeight="1" s="25">
      <c r="A13" s="24" t="inlineStr">
        <is>
          <t>B</t>
        </is>
      </c>
      <c r="B13" s="24" t="inlineStr">
        <is>
          <t>Preserve. Keep the URL, or 301 to the closest equivalent.</t>
        </is>
      </c>
      <c r="C13" s="24" t="inlineStr">
        <is>
          <t>32 URLs / 150 clicks</t>
        </is>
      </c>
    </row>
    <row r="14" ht="15" customHeight="1" s="25">
      <c r="A14" s="24" t="inlineStr">
        <is>
          <t>C</t>
        </is>
      </c>
      <c r="B14" s="24" t="inlineStr">
        <is>
          <t>Redirect. Low traffic but real equity. 301 to the closest new page.</t>
        </is>
      </c>
      <c r="C14" s="24" t="inlineStr">
        <is>
          <t>15 URLs / 21 clicks</t>
        </is>
      </c>
    </row>
    <row r="15" ht="15" customHeight="1" s="25">
      <c r="A15" s="24" t="inlineStr">
        <is>
          <t>D</t>
        </is>
      </c>
      <c r="B15" s="24" t="inlineStr">
        <is>
          <t>Low value. 301 to a parent page, or allow a 404.</t>
        </is>
      </c>
      <c r="C15" s="24" t="inlineStr">
        <is>
          <t>13 URLs / 0 clicks</t>
        </is>
      </c>
    </row>
    <row r="17" ht="15" customHeight="1" s="25">
      <c r="A17" s="27" t="inlineStr">
        <is>
          <t>RULES</t>
        </is>
      </c>
    </row>
    <row r="18" ht="15" customHeight="1" s="25">
      <c r="B18" s="24" t="inlineStr">
        <is>
          <t>Use 301 (permanent), never 302.</t>
        </is>
      </c>
    </row>
    <row r="19" ht="15" customHeight="1" s="25">
      <c r="B19" s="24" t="inlineStr">
        <is>
          <t>Map page to page. Never send everything to the homepage - Google treats that as a soft 404 and passes no value.</t>
        </is>
      </c>
    </row>
    <row r="20" ht="15" customHeight="1" s="25">
      <c r="B20" s="24" t="inlineStr">
        <is>
          <t>If there is genuinely no equivalent page, a 404 is better than a bad redirect.</t>
        </is>
      </c>
    </row>
    <row r="21" ht="15" customHeight="1" s="25">
      <c r="B21" s="24" t="inlineStr">
        <is>
          <t>Avoid chains. Old URL should point straight to the final destination, not via another redirect.</t>
        </is>
      </c>
    </row>
    <row r="22" ht="15" customHeight="1" s="25">
      <c r="B22" s="24" t="inlineStr">
        <is>
          <t>Keep redirects live permanently while you own the domain.</t>
        </is>
      </c>
    </row>
    <row r="24" ht="15" customHeight="1" s="25">
      <c r="A24" s="27" t="inlineStr">
        <is>
          <t>EXAMPLE ROW</t>
        </is>
      </c>
    </row>
    <row r="25" ht="15" customHeight="1" s="25">
      <c r="A25" s="24" t="inlineStr">
        <is>
          <t>Old URL</t>
        </is>
      </c>
      <c r="B25" s="28" t="inlineStr">
        <is>
          <t>/cut-and-fill-services-dubai/</t>
        </is>
      </c>
    </row>
    <row r="26" ht="15" customHeight="1" s="25">
      <c r="A26" s="24" t="inlineStr">
        <is>
          <t>New URL (what you type in column H)</t>
        </is>
      </c>
      <c r="B26" s="28" t="inlineStr">
        <is>
          <t>/services/earthworks/cut-and-fill/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4" min="1" max="1"/>
    <col width="44" customWidth="1" style="24" min="2" max="2"/>
    <col width="9" customWidth="1" style="24" min="3" max="3"/>
    <col width="13" customWidth="1" style="24" min="4" max="4"/>
    <col width="9" customWidth="1" style="24" min="5" max="5"/>
    <col width="13" customWidth="1" style="24" min="6" max="6"/>
    <col width="30" customWidth="1" style="24" min="7" max="7"/>
    <col width="38" customWidth="1" style="24" min="8" max="8"/>
    <col width="64" customWidth="1" style="24" min="9" max="9"/>
  </cols>
  <sheetData>
    <row r="1" ht="31.5" customHeight="1" s="25">
      <c r="A1" s="29" t="inlineStr">
        <is>
          <t>Tier</t>
        </is>
      </c>
      <c r="B1" s="29" t="inlineStr">
        <is>
          <t>Old URL</t>
        </is>
      </c>
      <c r="C1" s="29" t="inlineStr">
        <is>
          <t>Clicks</t>
        </is>
      </c>
      <c r="D1" s="29" t="inlineStr">
        <is>
          <t>Impressions</t>
        </is>
      </c>
      <c r="E1" s="29" t="inlineStr">
        <is>
          <t>CTR</t>
        </is>
      </c>
      <c r="F1" s="29" t="inlineStr">
        <is>
          <t>Avg position</t>
        </is>
      </c>
      <c r="G1" s="29" t="inlineStr">
        <is>
          <t>Recommended action</t>
        </is>
      </c>
      <c r="H1" s="29" t="inlineStr">
        <is>
          <t>NEW URL (fill in)</t>
        </is>
      </c>
      <c r="I1" s="29" t="inlineStr">
        <is>
          <t>Notes</t>
        </is>
      </c>
    </row>
    <row r="2" ht="15" customHeight="1" s="25">
      <c r="A2" s="30" t="inlineStr">
        <is>
          <t>A</t>
        </is>
      </c>
      <c r="B2" s="31" t="inlineStr">
        <is>
          <t>/</t>
        </is>
      </c>
      <c r="C2" s="32" t="n">
        <v>154</v>
      </c>
      <c r="D2" s="32" t="n">
        <v>4480</v>
      </c>
      <c r="E2" s="33" t="n">
        <v>0.0344</v>
      </c>
      <c r="F2" s="34" t="n">
        <v>35.1</v>
      </c>
      <c r="G2" s="35" t="inlineStr">
        <is>
          <t>Keep URL identical</t>
        </is>
      </c>
      <c r="H2" s="36" t="inlineStr">
        <is>
          <t>/</t>
        </is>
      </c>
      <c r="I2" s="37" t="inlineStr">
        <is>
          <t>URL PRESERVED as-is. Homepage. 154 clicks. Never change.</t>
        </is>
      </c>
    </row>
    <row r="3" ht="15" customHeight="1" s="25">
      <c r="A3" s="30" t="inlineStr">
        <is>
          <t>A</t>
        </is>
      </c>
      <c r="B3" s="31" t="inlineStr">
        <is>
          <t>/backfilling/</t>
        </is>
      </c>
      <c r="C3" s="32" t="n">
        <v>30</v>
      </c>
      <c r="D3" s="32" t="n">
        <v>1451</v>
      </c>
      <c r="E3" s="33" t="n">
        <v>0.0207</v>
      </c>
      <c r="F3" s="34" t="n">
        <v>9.699999999999999</v>
      </c>
      <c r="G3" s="35" t="inlineStr">
        <is>
          <t>Keep URL identical</t>
        </is>
      </c>
      <c r="H3" s="36" t="inlineStr">
        <is>
          <t>/services/earth-works/back-filling</t>
        </is>
      </c>
      <c r="I3" s="38" t="inlineStr">
        <is>
          <t>Best service page: pos 9.7, CTR 2.07%. Keep URL exactly.</t>
        </is>
      </c>
    </row>
    <row r="4" ht="23.85" customHeight="1" s="25">
      <c r="A4" s="30" t="inlineStr">
        <is>
          <t>A</t>
        </is>
      </c>
      <c r="B4" s="31" t="inlineStr">
        <is>
          <t>/road-construction-process/</t>
        </is>
      </c>
      <c r="C4" s="32" t="n">
        <v>20</v>
      </c>
      <c r="D4" s="32" t="n">
        <v>5002</v>
      </c>
      <c r="E4" s="33" t="n">
        <v>0.004</v>
      </c>
      <c r="F4" s="34" t="n">
        <v>11.4</v>
      </c>
      <c r="G4" s="35" t="inlineStr">
        <is>
          <t>Keep URL identical</t>
        </is>
      </c>
      <c r="H4" s="36" t="inlineStr">
        <is>
          <t>/road-construction-process</t>
        </is>
      </c>
      <c r="I4" s="39" t="inlineStr">
        <is>
          <t>URL PRESERVED as-is. Biggest impression source (5,002) + 2,009 AI Overview impressions. Keep, add CTAs to service pages.</t>
        </is>
      </c>
    </row>
    <row r="5" ht="23.85" customHeight="1" s="25">
      <c r="A5" s="30" t="inlineStr">
        <is>
          <t>A</t>
        </is>
      </c>
      <c r="B5" s="31" t="inlineStr">
        <is>
          <t>/asphalt-contractors-dubai/</t>
        </is>
      </c>
      <c r="C5" s="32" t="n">
        <v>20</v>
      </c>
      <c r="D5" s="32" t="n">
        <v>4013</v>
      </c>
      <c r="E5" s="33" t="n">
        <v>0.005</v>
      </c>
      <c r="F5" s="34" t="n">
        <v>13.3</v>
      </c>
      <c r="G5" s="35" t="inlineStr">
        <is>
          <t>Keep URL identical</t>
        </is>
      </c>
      <c r="H5" s="36" t="inlineStr">
        <is>
          <t>/services/road-works/asphalt-works</t>
        </is>
      </c>
      <c r="I5" s="38" t="inlineStr">
        <is>
          <t>CORE PRODUCT. Duplicate exists on asphaltcontractordubai.ae - consolidate here.</t>
        </is>
      </c>
    </row>
    <row r="6" ht="15" customHeight="1" s="25">
      <c r="A6" s="30" t="inlineStr">
        <is>
          <t>A</t>
        </is>
      </c>
      <c r="B6" s="31" t="inlineStr">
        <is>
          <t>/road-construction-abu-dhabi/</t>
        </is>
      </c>
      <c r="C6" s="32" t="n">
        <v>20</v>
      </c>
      <c r="D6" s="32" t="n">
        <v>1731</v>
      </c>
      <c r="E6" s="33" t="n">
        <v>0.0116</v>
      </c>
      <c r="F6" s="34" t="n">
        <v>30</v>
      </c>
      <c r="G6" s="35" t="inlineStr">
        <is>
          <t>Keep URL identical</t>
        </is>
      </c>
      <c r="H6" s="36" t="inlineStr">
        <is>
          <t>/services/road-works/abu-dhabi</t>
        </is>
      </c>
      <c r="I6" s="38" t="inlineStr">
        <is>
          <t>Location page working. Keep.</t>
        </is>
      </c>
    </row>
    <row r="7" ht="15" customHeight="1" s="25">
      <c r="A7" s="30" t="inlineStr">
        <is>
          <t>A</t>
        </is>
      </c>
      <c r="B7" s="31" t="inlineStr">
        <is>
          <t>/rta-approved-entry-exit-works/</t>
        </is>
      </c>
      <c r="C7" s="32" t="n">
        <v>19</v>
      </c>
      <c r="D7" s="32" t="n">
        <v>1531</v>
      </c>
      <c r="E7" s="33" t="n">
        <v>0.0124</v>
      </c>
      <c r="F7" s="34" t="n">
        <v>7.2</v>
      </c>
      <c r="G7" s="35" t="inlineStr">
        <is>
          <t>Keep URL identical</t>
        </is>
      </c>
      <c r="H7" s="36" t="inlineStr">
        <is>
          <t>/services/utilities/rta-approved-entry-exit-works</t>
        </is>
      </c>
      <c r="I7" s="38" t="inlineStr">
        <is>
          <t>Best commercial position on site (7.18). RTA approval is your differentiator.</t>
        </is>
      </c>
    </row>
    <row r="8" ht="15" customHeight="1" s="25">
      <c r="A8" s="30" t="inlineStr">
        <is>
          <t>A</t>
        </is>
      </c>
      <c r="B8" s="31" t="inlineStr">
        <is>
          <t>/traffic-management-abu-dhabi/</t>
        </is>
      </c>
      <c r="C8" s="32" t="n">
        <v>17</v>
      </c>
      <c r="D8" s="32" t="n">
        <v>847</v>
      </c>
      <c r="E8" s="33" t="n">
        <v>0.0201</v>
      </c>
      <c r="F8" s="34" t="n">
        <v>21</v>
      </c>
      <c r="G8" s="35" t="inlineStr">
        <is>
          <t>Keep URL identical</t>
        </is>
      </c>
      <c r="H8" s="36" t="inlineStr">
        <is>
          <t>/services/traffic-management/abu-dhabi</t>
        </is>
      </c>
      <c r="I8" s="39" t="inlineStr">
        <is>
          <t>NEW PAGE to be built. CTR 2.01%. Keep.</t>
        </is>
      </c>
    </row>
    <row r="9" ht="15" customHeight="1" s="25">
      <c r="A9" s="30" t="inlineStr">
        <is>
          <t>A</t>
        </is>
      </c>
      <c r="B9" s="31" t="inlineStr">
        <is>
          <t>/material-shifting-services-dubai/</t>
        </is>
      </c>
      <c r="C9" s="32" t="n">
        <v>15</v>
      </c>
      <c r="D9" s="32" t="n">
        <v>2603</v>
      </c>
      <c r="E9" s="33" t="n">
        <v>0.0058</v>
      </c>
      <c r="F9" s="34" t="n">
        <v>10.1</v>
      </c>
      <c r="G9" s="35" t="inlineStr">
        <is>
          <t>Keep URL identical</t>
        </is>
      </c>
      <c r="H9" s="36" t="inlineStr">
        <is>
          <t>/services/supply/material-shifting</t>
        </is>
      </c>
      <c r="I9" s="39" t="inlineStr">
        <is>
          <t>NEW PAGE to be built. Pos 10.1. Note /material-shifting-in-dubai/ is a near-duplicate - consolidate.</t>
        </is>
      </c>
    </row>
    <row r="10" ht="15" customHeight="1" s="25">
      <c r="A10" s="30" t="inlineStr">
        <is>
          <t>A</t>
        </is>
      </c>
      <c r="B10" s="31" t="inlineStr">
        <is>
          <t>/stone-supply-dubai/</t>
        </is>
      </c>
      <c r="C10" s="32" t="n">
        <v>15</v>
      </c>
      <c r="D10" s="32" t="n">
        <v>1496</v>
      </c>
      <c r="E10" s="33" t="n">
        <v>0.01</v>
      </c>
      <c r="F10" s="34" t="n">
        <v>31.8</v>
      </c>
      <c r="G10" s="35" t="inlineStr">
        <is>
          <t>Keep URL identical</t>
        </is>
      </c>
      <c r="H10" s="36" t="inlineStr">
        <is>
          <t>/services/supply/stone-supply</t>
        </is>
      </c>
      <c r="I10" s="39" t="inlineStr">
        <is>
          <t>NEW PAGE to be built. Keep. Pairs with aggregate/sand supply pages.</t>
        </is>
      </c>
    </row>
    <row r="11" ht="23.85" customHeight="1" s="25">
      <c r="A11" s="30" t="inlineStr">
        <is>
          <t>A</t>
        </is>
      </c>
      <c r="B11" s="31" t="inlineStr">
        <is>
          <t>/road-base-supply-dubai/</t>
        </is>
      </c>
      <c r="C11" s="32" t="n">
        <v>13</v>
      </c>
      <c r="D11" s="32" t="n">
        <v>1606</v>
      </c>
      <c r="E11" s="33" t="n">
        <v>0.0081</v>
      </c>
      <c r="F11" s="34" t="n">
        <v>19.4</v>
      </c>
      <c r="G11" s="35" t="inlineStr">
        <is>
          <t>Keep URL identical</t>
        </is>
      </c>
      <c r="H11" s="36" t="inlineStr">
        <is>
          <t>/services/supply/road-base-supply</t>
        </is>
      </c>
      <c r="I11" s="39" t="inlineStr">
        <is>
          <t>NEW PAGE to be built. CORE PRODUCT. 297 impressions for "road base supplier in dubai". Keep URL, expand content.</t>
        </is>
      </c>
    </row>
    <row r="12" ht="15" customHeight="1" s="25">
      <c r="A12" s="30" t="inlineStr">
        <is>
          <t>A</t>
        </is>
      </c>
      <c r="B12" s="31" t="inlineStr">
        <is>
          <t>/contact/</t>
        </is>
      </c>
      <c r="C12" s="32" t="n">
        <v>12</v>
      </c>
      <c r="D12" s="32" t="n">
        <v>1098</v>
      </c>
      <c r="E12" s="33" t="n">
        <v>0.0109</v>
      </c>
      <c r="F12" s="34" t="n">
        <v>22.9</v>
      </c>
      <c r="G12" s="35" t="inlineStr">
        <is>
          <t>Keep URL identical</t>
        </is>
      </c>
      <c r="H12" s="36" t="inlineStr">
        <is>
          <t>/contact</t>
        </is>
      </c>
      <c r="I12" s="37" t="inlineStr">
        <is>
          <t>URL PRESERVED as-is. Fix the form. Check shortcode renders.</t>
        </is>
      </c>
    </row>
    <row r="13" ht="23.85" customHeight="1" s="25">
      <c r="A13" s="30" t="inlineStr">
        <is>
          <t>A</t>
        </is>
      </c>
      <c r="B13" s="31" t="inlineStr">
        <is>
          <t>/interlock-contractors-dubai/</t>
        </is>
      </c>
      <c r="C13" s="32" t="n">
        <v>12</v>
      </c>
      <c r="D13" s="32" t="n">
        <v>633</v>
      </c>
      <c r="E13" s="33" t="n">
        <v>0.019</v>
      </c>
      <c r="F13" s="34" t="n">
        <v>21</v>
      </c>
      <c r="G13" s="35" t="inlineStr">
        <is>
          <t>Keep URL identical</t>
        </is>
      </c>
      <c r="H13" s="36" t="inlineStr">
        <is>
          <t>/services/road-works/heavy-duty-interlock-paving</t>
        </is>
      </c>
      <c r="I13" s="38" t="inlineStr">
        <is>
          <t>CORE PRODUCT. CTR 1.90% at pos 21 with RESIDENTIAL content. Keep URL, rewrite for industrial.</t>
        </is>
      </c>
    </row>
    <row r="14" ht="15" customHeight="1" s="25">
      <c r="A14" s="30" t="inlineStr">
        <is>
          <t>A</t>
        </is>
      </c>
      <c r="B14" s="31" t="inlineStr">
        <is>
          <t>/earth-works-abu-dhabi/</t>
        </is>
      </c>
      <c r="C14" s="32" t="n">
        <v>12</v>
      </c>
      <c r="D14" s="32" t="n">
        <v>439</v>
      </c>
      <c r="E14" s="33" t="n">
        <v>0.0273</v>
      </c>
      <c r="F14" s="34" t="n">
        <v>20.3</v>
      </c>
      <c r="G14" s="35" t="inlineStr">
        <is>
          <t>Keep URL identical</t>
        </is>
      </c>
      <c r="H14" s="36" t="inlineStr">
        <is>
          <t>/services/earth-works/abu-dhabi</t>
        </is>
      </c>
      <c r="I14" s="38" t="inlineStr">
        <is>
          <t>CTR 2.73% - one of the best on site.</t>
        </is>
      </c>
    </row>
    <row r="15" ht="15" customHeight="1" s="25">
      <c r="A15" s="30" t="inlineStr">
        <is>
          <t>A</t>
        </is>
      </c>
      <c r="B15" s="31" t="inlineStr">
        <is>
          <t>/land-clearing-services-dubai/</t>
        </is>
      </c>
      <c r="C15" s="32" t="n">
        <v>10</v>
      </c>
      <c r="D15" s="32" t="n">
        <v>1050</v>
      </c>
      <c r="E15" s="33" t="n">
        <v>0.0095</v>
      </c>
      <c r="F15" s="34" t="n">
        <v>22</v>
      </c>
      <c r="G15" s="35" t="inlineStr">
        <is>
          <t>Keep URL identical</t>
        </is>
      </c>
      <c r="H15" s="36" t="inlineStr">
        <is>
          <t>/services/earth-works/site-preparation</t>
        </is>
      </c>
      <c r="I15" s="39" t="inlineStr">
        <is>
          <t>NEW PAGE to be built. Ranks pos 5.30 for "land clearing services" with 0 clicks - rewrite title/meta.</t>
        </is>
      </c>
    </row>
    <row r="16" ht="15" customHeight="1" s="25">
      <c r="A16" s="40" t="inlineStr">
        <is>
          <t>B</t>
        </is>
      </c>
      <c r="B16" s="35" t="inlineStr">
        <is>
          <t>/road-construction-dubai/</t>
        </is>
      </c>
      <c r="C16" s="32" t="n">
        <v>9</v>
      </c>
      <c r="D16" s="32" t="n">
        <v>961</v>
      </c>
      <c r="E16" s="33" t="n">
        <v>0.0094</v>
      </c>
      <c r="F16" s="34" t="n">
        <v>39</v>
      </c>
      <c r="G16" s="35" t="inlineStr">
        <is>
          <t>Keep URL if possible, else 301</t>
        </is>
      </c>
      <c r="H16" s="36" t="inlineStr">
        <is>
          <t>/services/road-works/dubai</t>
        </is>
      </c>
      <c r="I16" s="38" t="n"/>
    </row>
    <row r="17" ht="15" customHeight="1" s="25">
      <c r="A17" s="40" t="inlineStr">
        <is>
          <t>B</t>
        </is>
      </c>
      <c r="B17" s="35" t="inlineStr">
        <is>
          <t>/curb-stone-contractors-dubai/</t>
        </is>
      </c>
      <c r="C17" s="32" t="n">
        <v>9</v>
      </c>
      <c r="D17" s="32" t="n">
        <v>817</v>
      </c>
      <c r="E17" s="33" t="n">
        <v>0.011</v>
      </c>
      <c r="F17" s="34" t="n">
        <v>11.6</v>
      </c>
      <c r="G17" s="35" t="inlineStr">
        <is>
          <t>Keep URL if possible, else 301</t>
        </is>
      </c>
      <c r="H17" s="36" t="inlineStr">
        <is>
          <t>/services/road-works/kerbstones</t>
        </is>
      </c>
      <c r="I17" s="38" t="inlineStr">
        <is>
          <t>Pos 11.55. Kerbstone is part of the interlock/paving offer.</t>
        </is>
      </c>
    </row>
    <row r="18" ht="15" customHeight="1" s="25">
      <c r="A18" s="40" t="inlineStr">
        <is>
          <t>B</t>
        </is>
      </c>
      <c r="B18" s="35" t="inlineStr">
        <is>
          <t>/parking-construction-dubai/</t>
        </is>
      </c>
      <c r="C18" s="32" t="n">
        <v>9</v>
      </c>
      <c r="D18" s="32" t="n">
        <v>435</v>
      </c>
      <c r="E18" s="33" t="n">
        <v>0.0207</v>
      </c>
      <c r="F18" s="34" t="n">
        <v>13.9</v>
      </c>
      <c r="G18" s="35" t="inlineStr">
        <is>
          <t>Keep URL if possible, else 301</t>
        </is>
      </c>
      <c r="H18" s="36" t="inlineStr">
        <is>
          <t>/services/road-works/parking-construction</t>
        </is>
      </c>
      <c r="I18" s="38" t="inlineStr">
        <is>
          <t>CORE PRODUCT. CTR 2.07%, pos 13.9. Expand to warehouse/yard paving.</t>
        </is>
      </c>
    </row>
    <row r="19" ht="15" customHeight="1" s="25">
      <c r="A19" s="40" t="inlineStr">
        <is>
          <t>B</t>
        </is>
      </c>
      <c r="B19" s="35" t="inlineStr">
        <is>
          <t>/heavy-equipment-rental-uae/</t>
        </is>
      </c>
      <c r="C19" s="32" t="n">
        <v>8</v>
      </c>
      <c r="D19" s="32" t="n">
        <v>2007</v>
      </c>
      <c r="E19" s="33" t="n">
        <v>0.004</v>
      </c>
      <c r="F19" s="34" t="n">
        <v>49.2</v>
      </c>
      <c r="G19" s="35" t="inlineStr">
        <is>
          <t>Keep URL if possible, else 301</t>
        </is>
      </c>
      <c r="H19" s="36" t="inlineStr">
        <is>
          <t>/services</t>
        </is>
      </c>
      <c r="I19" s="38" t="inlineStr">
        <is>
          <t>2,007 impressions at pos 49. Decide if you actually rent equipment.</t>
        </is>
      </c>
    </row>
    <row r="20" ht="15" customHeight="1" s="25">
      <c r="A20" s="40" t="inlineStr">
        <is>
          <t>B</t>
        </is>
      </c>
      <c r="B20" s="35" t="inlineStr">
        <is>
          <t>/road-closure-permits/</t>
        </is>
      </c>
      <c r="C20" s="32" t="n">
        <v>8</v>
      </c>
      <c r="D20" s="32" t="n">
        <v>943</v>
      </c>
      <c r="E20" s="33" t="n">
        <v>0.008500000000000001</v>
      </c>
      <c r="F20" s="34" t="n">
        <v>8.9</v>
      </c>
      <c r="G20" s="35" t="inlineStr">
        <is>
          <t>Keep URL if possible, else 301</t>
        </is>
      </c>
      <c r="H20" s="36" t="inlineStr">
        <is>
          <t>/services/traffic-management/road-closure-permits</t>
        </is>
      </c>
      <c r="I20" s="38" t="n"/>
    </row>
    <row r="21" ht="15" customHeight="1" s="25">
      <c r="A21" s="40" t="inlineStr">
        <is>
          <t>B</t>
        </is>
      </c>
      <c r="B21" s="35" t="inlineStr">
        <is>
          <t>/traffic-diversions/</t>
        </is>
      </c>
      <c r="C21" s="32" t="n">
        <v>8</v>
      </c>
      <c r="D21" s="32" t="n">
        <v>762</v>
      </c>
      <c r="E21" s="33" t="n">
        <v>0.0105</v>
      </c>
      <c r="F21" s="34" t="n">
        <v>8.199999999999999</v>
      </c>
      <c r="G21" s="35" t="inlineStr">
        <is>
          <t>Keep URL if possible, else 301</t>
        </is>
      </c>
      <c r="H21" s="36" t="inlineStr">
        <is>
          <t>/services/traffic-management/traffic-management</t>
        </is>
      </c>
      <c r="I21" s="38" t="n"/>
    </row>
    <row r="22" ht="15" customHeight="1" s="25">
      <c r="A22" s="40" t="inlineStr">
        <is>
          <t>B</t>
        </is>
      </c>
      <c r="B22" s="35" t="inlineStr">
        <is>
          <t>/road-marking-company-dubai/</t>
        </is>
      </c>
      <c r="C22" s="32" t="n">
        <v>7</v>
      </c>
      <c r="D22" s="32" t="n">
        <v>1086</v>
      </c>
      <c r="E22" s="33" t="n">
        <v>0.0064</v>
      </c>
      <c r="F22" s="34" t="n">
        <v>19.2</v>
      </c>
      <c r="G22" s="35" t="inlineStr">
        <is>
          <t>Keep URL if possible, else 301</t>
        </is>
      </c>
      <c r="H22" s="36" t="inlineStr">
        <is>
          <t>/services/road-works/road-markings</t>
        </is>
      </c>
      <c r="I22" s="38" t="n"/>
    </row>
    <row r="23" ht="15" customHeight="1" s="25">
      <c r="A23" s="40" t="inlineStr">
        <is>
          <t>B</t>
        </is>
      </c>
      <c r="B23" s="35" t="inlineStr">
        <is>
          <t>/leveling-and-grading/</t>
        </is>
      </c>
      <c r="C23" s="32" t="n">
        <v>7</v>
      </c>
      <c r="D23" s="32" t="n">
        <v>669</v>
      </c>
      <c r="E23" s="33" t="n">
        <v>0.0105</v>
      </c>
      <c r="F23" s="34" t="n">
        <v>22.2</v>
      </c>
      <c r="G23" s="35" t="inlineStr">
        <is>
          <t>Keep URL if possible, else 301</t>
        </is>
      </c>
      <c r="H23" s="36" t="inlineStr">
        <is>
          <t>/services/earth-works/leveling-and-compaction</t>
        </is>
      </c>
      <c r="I23" s="38" t="n"/>
    </row>
    <row r="24" ht="15" customHeight="1" s="25">
      <c r="A24" s="40" t="inlineStr">
        <is>
          <t>B</t>
        </is>
      </c>
      <c r="B24" s="35" t="inlineStr">
        <is>
          <t>/piling-contractors-dubai/</t>
        </is>
      </c>
      <c r="C24" s="32" t="n">
        <v>7</v>
      </c>
      <c r="D24" s="32" t="n">
        <v>456</v>
      </c>
      <c r="E24" s="33" t="n">
        <v>0.0154</v>
      </c>
      <c r="F24" s="34" t="n">
        <v>40.5</v>
      </c>
      <c r="G24" s="35" t="inlineStr">
        <is>
          <t>Keep URL if possible, else 301</t>
        </is>
      </c>
      <c r="H24" s="36" t="inlineStr">
        <is>
          <t>/services/earth-works/excavation</t>
        </is>
      </c>
      <c r="I24" s="38" t="inlineStr">
        <is>
          <t>YOU DO NOT OFFER PILING. Redirect to excavation or earthworks.</t>
        </is>
      </c>
    </row>
    <row r="25" ht="15" customHeight="1" s="25">
      <c r="A25" s="40" t="inlineStr">
        <is>
          <t>B</t>
        </is>
      </c>
      <c r="B25" s="35" t="inlineStr">
        <is>
          <t>/about/</t>
        </is>
      </c>
      <c r="C25" s="32" t="n">
        <v>6</v>
      </c>
      <c r="D25" s="32" t="n">
        <v>656</v>
      </c>
      <c r="E25" s="33" t="n">
        <v>0.0091</v>
      </c>
      <c r="F25" s="34" t="n">
        <v>25.8</v>
      </c>
      <c r="G25" s="35" t="inlineStr">
        <is>
          <t>Keep URL if possible, else 301</t>
        </is>
      </c>
      <c r="H25" s="36" t="inlineStr">
        <is>
          <t>/about</t>
        </is>
      </c>
      <c r="I25" s="37" t="inlineStr">
        <is>
          <t>URL PRESERVED as-is.</t>
        </is>
      </c>
    </row>
    <row r="26" ht="15" customHeight="1" s="25">
      <c r="A26" s="40" t="inlineStr">
        <is>
          <t>B</t>
        </is>
      </c>
      <c r="B26" s="35" t="inlineStr">
        <is>
          <t>/excavation-service-abu-dhabi/</t>
        </is>
      </c>
      <c r="C26" s="32" t="n">
        <v>6</v>
      </c>
      <c r="D26" s="32" t="n">
        <v>415</v>
      </c>
      <c r="E26" s="33" t="n">
        <v>0.0145</v>
      </c>
      <c r="F26" s="34" t="n">
        <v>27.1</v>
      </c>
      <c r="G26" s="35" t="inlineStr">
        <is>
          <t>Keep URL if possible, else 301</t>
        </is>
      </c>
      <c r="H26" s="36" t="inlineStr">
        <is>
          <t>/services/earth-works/abu-dhabi</t>
        </is>
      </c>
      <c r="I26" s="38" t="n"/>
    </row>
    <row r="27" ht="15" customHeight="1" s="25">
      <c r="A27" s="40" t="inlineStr">
        <is>
          <t>B</t>
        </is>
      </c>
      <c r="B27" s="35" t="inlineStr">
        <is>
          <t>/construction-companies-in-uae/</t>
        </is>
      </c>
      <c r="C27" s="32" t="n">
        <v>5</v>
      </c>
      <c r="D27" s="32" t="n">
        <v>1182</v>
      </c>
      <c r="E27" s="33" t="n">
        <v>0.0042</v>
      </c>
      <c r="F27" s="34" t="n">
        <v>47.1</v>
      </c>
      <c r="G27" s="35" t="inlineStr">
        <is>
          <t>Keep URL if possible, else 301</t>
        </is>
      </c>
      <c r="H27" s="36" t="inlineStr">
        <is>
          <t>/about</t>
        </is>
      </c>
      <c r="I27" s="38" t="n"/>
    </row>
    <row r="28" ht="15" customHeight="1" s="25">
      <c r="A28" s="40" t="inlineStr">
        <is>
          <t>B</t>
        </is>
      </c>
      <c r="B28" s="35" t="inlineStr">
        <is>
          <t>/site-preparation/</t>
        </is>
      </c>
      <c r="C28" s="32" t="n">
        <v>5</v>
      </c>
      <c r="D28" s="32" t="n">
        <v>955</v>
      </c>
      <c r="E28" s="33" t="n">
        <v>0.0052</v>
      </c>
      <c r="F28" s="34" t="n">
        <v>31.1</v>
      </c>
      <c r="G28" s="35" t="inlineStr">
        <is>
          <t>Keep URL if possible, else 301</t>
        </is>
      </c>
      <c r="H28" s="36" t="inlineStr">
        <is>
          <t>/services/earth-works/site-preparation</t>
        </is>
      </c>
      <c r="I28" s="39" t="inlineStr">
        <is>
          <t>NEW PAGE to be built.</t>
        </is>
      </c>
    </row>
    <row r="29" ht="15" customHeight="1" s="25">
      <c r="A29" s="40" t="inlineStr">
        <is>
          <t>B</t>
        </is>
      </c>
      <c r="B29" s="35" t="inlineStr">
        <is>
          <t>/excavation-contractors-dubai/</t>
        </is>
      </c>
      <c r="C29" s="32" t="n">
        <v>5</v>
      </c>
      <c r="D29" s="32" t="n">
        <v>854</v>
      </c>
      <c r="E29" s="33" t="n">
        <v>0.0059</v>
      </c>
      <c r="F29" s="34" t="n">
        <v>30.2</v>
      </c>
      <c r="G29" s="35" t="inlineStr">
        <is>
          <t>Keep URL if possible, else 301</t>
        </is>
      </c>
      <c r="H29" s="36" t="inlineStr">
        <is>
          <t>/services/earth-works/excavation</t>
        </is>
      </c>
      <c r="I29" s="38" t="n"/>
    </row>
    <row r="30" ht="15" customHeight="1" s="25">
      <c r="A30" s="40" t="inlineStr">
        <is>
          <t>B</t>
        </is>
      </c>
      <c r="B30" s="35" t="inlineStr">
        <is>
          <t>/pipeline-laying-dubai/</t>
        </is>
      </c>
      <c r="C30" s="32" t="n">
        <v>5</v>
      </c>
      <c r="D30" s="32" t="n">
        <v>714</v>
      </c>
      <c r="E30" s="33" t="n">
        <v>0.007</v>
      </c>
      <c r="F30" s="34" t="n">
        <v>23.1</v>
      </c>
      <c r="G30" s="35" t="inlineStr">
        <is>
          <t>Keep URL if possible, else 301</t>
        </is>
      </c>
      <c r="H30" s="36" t="inlineStr">
        <is>
          <t>/services/utilities/utilities-shifting</t>
        </is>
      </c>
      <c r="I30" s="38" t="n"/>
    </row>
    <row r="31" ht="15" customHeight="1" s="25">
      <c r="A31" s="40" t="inlineStr">
        <is>
          <t>B</t>
        </is>
      </c>
      <c r="B31" s="35" t="inlineStr">
        <is>
          <t>/infrastructure-piping-dubai/</t>
        </is>
      </c>
      <c r="C31" s="32" t="n">
        <v>5</v>
      </c>
      <c r="D31" s="32" t="n">
        <v>370</v>
      </c>
      <c r="E31" s="33" t="n">
        <v>0.0135</v>
      </c>
      <c r="F31" s="34" t="n">
        <v>32.2</v>
      </c>
      <c r="G31" s="35" t="inlineStr">
        <is>
          <t>Keep URL if possible, else 301</t>
        </is>
      </c>
      <c r="H31" s="36" t="inlineStr">
        <is>
          <t>/services/utilities</t>
        </is>
      </c>
      <c r="I31" s="38" t="n"/>
    </row>
    <row r="32" ht="23.85" customHeight="1" s="25">
      <c r="A32" s="40" t="inlineStr">
        <is>
          <t>B</t>
        </is>
      </c>
      <c r="B32" s="35" t="inlineStr">
        <is>
          <t>/piling-in-construction/</t>
        </is>
      </c>
      <c r="C32" s="32" t="n">
        <v>4</v>
      </c>
      <c r="D32" s="32" t="n">
        <v>2780</v>
      </c>
      <c r="E32" s="33" t="n">
        <v>0.0014</v>
      </c>
      <c r="F32" s="34" t="n">
        <v>41</v>
      </c>
      <c r="G32" s="35" t="inlineStr">
        <is>
          <t>Keep URL if possible, else 301</t>
        </is>
      </c>
      <c r="H32" s="36" t="inlineStr">
        <is>
          <t>/services/earth-works/excavation</t>
        </is>
      </c>
      <c r="I32" s="38" t="inlineStr">
        <is>
          <t>YOU DO NOT OFFER PILING. 2,780 impressions wasted. Redirect to excavation or earthworks.</t>
        </is>
      </c>
    </row>
    <row r="33" ht="15" customHeight="1" s="25">
      <c r="A33" s="40" t="inlineStr">
        <is>
          <t>B</t>
        </is>
      </c>
      <c r="B33" s="35" t="inlineStr">
        <is>
          <t>/traffic-management/</t>
        </is>
      </c>
      <c r="C33" s="32" t="n">
        <v>4</v>
      </c>
      <c r="D33" s="32" t="n">
        <v>1355</v>
      </c>
      <c r="E33" s="33" t="n">
        <v>0.003</v>
      </c>
      <c r="F33" s="34" t="n">
        <v>28</v>
      </c>
      <c r="G33" s="35" t="inlineStr">
        <is>
          <t>Keep URL if possible, else 301</t>
        </is>
      </c>
      <c r="H33" s="36" t="inlineStr">
        <is>
          <t>/services/traffic-management</t>
        </is>
      </c>
      <c r="I33" s="38" t="n"/>
    </row>
    <row r="34" ht="15" customHeight="1" s="25">
      <c r="A34" s="40" t="inlineStr">
        <is>
          <t>B</t>
        </is>
      </c>
      <c r="B34" s="35" t="inlineStr">
        <is>
          <t>/earth-work-services-dubai/</t>
        </is>
      </c>
      <c r="C34" s="32" t="n">
        <v>4</v>
      </c>
      <c r="D34" s="32" t="n">
        <v>960</v>
      </c>
      <c r="E34" s="33" t="n">
        <v>0.0042</v>
      </c>
      <c r="F34" s="34" t="n">
        <v>37.2</v>
      </c>
      <c r="G34" s="35" t="inlineStr">
        <is>
          <t>Keep URL if possible, else 301</t>
        </is>
      </c>
      <c r="H34" s="36" t="inlineStr">
        <is>
          <t>/services/earth-works/dubai</t>
        </is>
      </c>
      <c r="I34" s="38" t="n"/>
    </row>
    <row r="35" ht="15" customHeight="1" s="25">
      <c r="A35" s="40" t="inlineStr">
        <is>
          <t>B</t>
        </is>
      </c>
      <c r="B35" s="35" t="inlineStr">
        <is>
          <t>/projects/</t>
        </is>
      </c>
      <c r="C35" s="32" t="n">
        <v>4</v>
      </c>
      <c r="D35" s="32" t="n">
        <v>584</v>
      </c>
      <c r="E35" s="33" t="n">
        <v>0.0068</v>
      </c>
      <c r="F35" s="34" t="n">
        <v>8.4</v>
      </c>
      <c r="G35" s="35" t="inlineStr">
        <is>
          <t>Keep URL if possible, else 301</t>
        </is>
      </c>
      <c r="H35" s="36" t="inlineStr">
        <is>
          <t>/projects</t>
        </is>
      </c>
      <c r="I35" s="37" t="inlineStr">
        <is>
          <t>URL PRESERVED as-is. Pos 8.38. Your portfolio hub - migrate the AED-value case studies here.</t>
        </is>
      </c>
    </row>
    <row r="36" ht="15" customHeight="1" s="25">
      <c r="A36" s="40" t="inlineStr">
        <is>
          <t>B</t>
        </is>
      </c>
      <c r="B36" s="35" t="inlineStr">
        <is>
          <t>/breakwater-construction-dubai/</t>
        </is>
      </c>
      <c r="C36" s="32" t="n">
        <v>4</v>
      </c>
      <c r="D36" s="32" t="n">
        <v>291</v>
      </c>
      <c r="E36" s="33" t="n">
        <v>0.0137</v>
      </c>
      <c r="F36" s="34" t="n">
        <v>17.6</v>
      </c>
      <c r="G36" s="35" t="inlineStr">
        <is>
          <t>Keep URL if possible, else 301</t>
        </is>
      </c>
      <c r="H36" s="36" t="inlineStr">
        <is>
          <t>/services/earth-works</t>
        </is>
      </c>
      <c r="I36" s="38" t="n"/>
    </row>
    <row r="37" ht="15" customHeight="1" s="25">
      <c r="A37" s="40" t="inlineStr">
        <is>
          <t>B</t>
        </is>
      </c>
      <c r="B37" s="35" t="inlineStr">
        <is>
          <t>/sand-supply-dubai/</t>
        </is>
      </c>
      <c r="C37" s="32" t="n">
        <v>3</v>
      </c>
      <c r="D37" s="32" t="n">
        <v>1128</v>
      </c>
      <c r="E37" s="33" t="n">
        <v>0.0027</v>
      </c>
      <c r="F37" s="34" t="n">
        <v>33.6</v>
      </c>
      <c r="G37" s="35" t="inlineStr">
        <is>
          <t>Keep URL if possible, else 301</t>
        </is>
      </c>
      <c r="H37" s="36" t="inlineStr">
        <is>
          <t>/services/supply/sand-supply</t>
        </is>
      </c>
      <c r="I37" s="39" t="inlineStr">
        <is>
          <t>NEW PAGE to be built.</t>
        </is>
      </c>
    </row>
    <row r="38" ht="15" customHeight="1" s="25">
      <c r="A38" s="40" t="inlineStr">
        <is>
          <t>B</t>
        </is>
      </c>
      <c r="B38" s="35" t="inlineStr">
        <is>
          <t>/temporary-road-contractors-dubai/</t>
        </is>
      </c>
      <c r="C38" s="32" t="n">
        <v>3</v>
      </c>
      <c r="D38" s="32" t="n">
        <v>536</v>
      </c>
      <c r="E38" s="33" t="n">
        <v>0.0056</v>
      </c>
      <c r="F38" s="34" t="n">
        <v>24.3</v>
      </c>
      <c r="G38" s="35" t="inlineStr">
        <is>
          <t>Keep URL if possible, else 301</t>
        </is>
      </c>
      <c r="H38" s="36" t="inlineStr">
        <is>
          <t>/services/road-works/access-roads</t>
        </is>
      </c>
      <c r="I38" s="38" t="n"/>
    </row>
    <row r="39" ht="15" customHeight="1" s="25">
      <c r="A39" s="40" t="inlineStr">
        <is>
          <t>B</t>
        </is>
      </c>
      <c r="B39" s="35" t="inlineStr">
        <is>
          <t>/gabion-boxes-supply-dubai/</t>
        </is>
      </c>
      <c r="C39" s="32" t="n">
        <v>3</v>
      </c>
      <c r="D39" s="32" t="n">
        <v>427</v>
      </c>
      <c r="E39" s="33" t="n">
        <v>0.007</v>
      </c>
      <c r="F39" s="34" t="n">
        <v>18.3</v>
      </c>
      <c r="G39" s="35" t="inlineStr">
        <is>
          <t>Keep URL if possible, else 301</t>
        </is>
      </c>
      <c r="H39" s="36" t="inlineStr">
        <is>
          <t>/services/supply/gabion-boxes</t>
        </is>
      </c>
      <c r="I39" s="39" t="inlineStr">
        <is>
          <t>NEW PAGE to be built.</t>
        </is>
      </c>
    </row>
    <row r="40" ht="15" customHeight="1" s="25">
      <c r="A40" s="40" t="inlineStr">
        <is>
          <t>B</t>
        </is>
      </c>
      <c r="B40" s="35" t="inlineStr">
        <is>
          <t>/golf-course-landscaping-dubai/</t>
        </is>
      </c>
      <c r="C40" s="32" t="n">
        <v>3</v>
      </c>
      <c r="D40" s="32" t="n">
        <v>133</v>
      </c>
      <c r="E40" s="33" t="n">
        <v>0.0226</v>
      </c>
      <c r="F40" s="34" t="n">
        <v>18.4</v>
      </c>
      <c r="G40" s="35" t="inlineStr">
        <is>
          <t>Keep URL if possible, else 301</t>
        </is>
      </c>
      <c r="H40" s="36" t="inlineStr">
        <is>
          <t>/services/earth-works</t>
        </is>
      </c>
      <c r="I40" s="38" t="n"/>
    </row>
    <row r="41" ht="15" customHeight="1" s="25">
      <c r="A41" s="40" t="inlineStr">
        <is>
          <t>B</t>
        </is>
      </c>
      <c r="B41" s="35" t="inlineStr">
        <is>
          <t>/road-works-fujairah/</t>
        </is>
      </c>
      <c r="C41" s="32" t="n">
        <v>3</v>
      </c>
      <c r="D41" s="32" t="n">
        <v>65</v>
      </c>
      <c r="E41" s="33" t="n">
        <v>0.0462</v>
      </c>
      <c r="F41" s="34" t="n">
        <v>8.4</v>
      </c>
      <c r="G41" s="35" t="inlineStr">
        <is>
          <t>Keep URL if possible, else 301</t>
        </is>
      </c>
      <c r="H41" s="36" t="inlineStr">
        <is>
          <t>/services/road-works/fujairah</t>
        </is>
      </c>
      <c r="I41" s="38" t="inlineStr">
        <is>
          <t>HIGHEST CTR ON SITE (4.62%) at pos 8.45. Keep URL. Expand content.</t>
        </is>
      </c>
    </row>
    <row r="42" ht="15" customHeight="1" s="25">
      <c r="A42" s="40" t="inlineStr">
        <is>
          <t>B</t>
        </is>
      </c>
      <c r="B42" s="35" t="inlineStr">
        <is>
          <t>/asphalt-works-fujairah/</t>
        </is>
      </c>
      <c r="C42" s="32" t="n">
        <v>3</v>
      </c>
      <c r="D42" s="32" t="n">
        <v>54</v>
      </c>
      <c r="E42" s="33" t="n">
        <v>0.0556</v>
      </c>
      <c r="F42" s="34" t="n">
        <v>8.300000000000001</v>
      </c>
      <c r="G42" s="35" t="inlineStr">
        <is>
          <t>Keep URL if possible, else 301</t>
        </is>
      </c>
      <c r="H42" s="36" t="inlineStr">
        <is>
          <t>/services/road-works/fujairah</t>
        </is>
      </c>
      <c r="I42" s="38" t="inlineStr">
        <is>
          <t>HIGHEST CTR ON SITE (5.56%) at pos 8.31. Keep URL. Expand content.</t>
        </is>
      </c>
    </row>
    <row r="43" ht="15" customHeight="1" s="25">
      <c r="A43" s="40" t="inlineStr">
        <is>
          <t>B</t>
        </is>
      </c>
      <c r="B43" s="35" t="inlineStr">
        <is>
          <t>/aggregate-supply-dubai/</t>
        </is>
      </c>
      <c r="C43" s="32" t="n">
        <v>2</v>
      </c>
      <c r="D43" s="32" t="n">
        <v>888</v>
      </c>
      <c r="E43" s="33" t="n">
        <v>0.0023</v>
      </c>
      <c r="F43" s="34" t="n">
        <v>41.1</v>
      </c>
      <c r="G43" s="35" t="inlineStr">
        <is>
          <t>Keep URL if possible, else 301</t>
        </is>
      </c>
      <c r="H43" s="36" t="inlineStr">
        <is>
          <t>/services/supply/aggregate-supply</t>
        </is>
      </c>
      <c r="I43" s="39" t="inlineStr">
        <is>
          <t>NEW PAGE to be built.</t>
        </is>
      </c>
    </row>
    <row r="44" ht="23.85" customHeight="1" s="25">
      <c r="A44" s="40" t="inlineStr">
        <is>
          <t>B</t>
        </is>
      </c>
      <c r="B44" s="35" t="inlineStr">
        <is>
          <t>/material-shifting-in-dubai/</t>
        </is>
      </c>
      <c r="C44" s="32" t="n">
        <v>1</v>
      </c>
      <c r="D44" s="32" t="n">
        <v>1385</v>
      </c>
      <c r="E44" s="33" t="n">
        <v>0.0007</v>
      </c>
      <c r="F44" s="34" t="n">
        <v>9</v>
      </c>
      <c r="G44" s="35" t="inlineStr">
        <is>
          <t>Keep URL if possible, else 301</t>
        </is>
      </c>
      <c r="H44" s="36" t="inlineStr">
        <is>
          <t>/services/supply/material-shifting</t>
        </is>
      </c>
      <c r="I44" s="39" t="inlineStr">
        <is>
          <t>NEW PAGE to be built. Near-duplicate of /material-shifting-services-dubai/. Consolidate, 301 the weaker one.</t>
        </is>
      </c>
    </row>
    <row r="45" ht="15" customHeight="1" s="25">
      <c r="A45" s="40" t="inlineStr">
        <is>
          <t>B</t>
        </is>
      </c>
      <c r="B45" s="35" t="inlineStr">
        <is>
          <t>/asphalt-vs-concrete-roads/</t>
        </is>
      </c>
      <c r="C45" s="32" t="n">
        <v>0</v>
      </c>
      <c r="D45" s="32" t="n">
        <v>1476</v>
      </c>
      <c r="E45" s="33" t="n">
        <v>0</v>
      </c>
      <c r="F45" s="34" t="n">
        <v>41.8</v>
      </c>
      <c r="G45" s="35" t="inlineStr">
        <is>
          <t>Keep URL if possible, else 301</t>
        </is>
      </c>
      <c r="H45" s="36" t="inlineStr">
        <is>
          <t>/asphalt-vs-concrete-roads</t>
        </is>
      </c>
      <c r="I45" s="39" t="inlineStr">
        <is>
          <t>URL PRESERVED as-is. 1,476 impressions, 0 clicks, pos 41.8. Keep as top-of-funnel but add CTAs.</t>
        </is>
      </c>
    </row>
    <row r="46" ht="23.85" customHeight="1" s="25">
      <c r="A46" s="40" t="inlineStr">
        <is>
          <t>B</t>
        </is>
      </c>
      <c r="B46" s="35" t="inlineStr">
        <is>
          <t>/excavation-in-construction/</t>
        </is>
      </c>
      <c r="C46" s="32" t="n">
        <v>0</v>
      </c>
      <c r="D46" s="32" t="n">
        <v>1273</v>
      </c>
      <c r="E46" s="33" t="n">
        <v>0</v>
      </c>
      <c r="F46" s="34" t="n">
        <v>53.2</v>
      </c>
      <c r="G46" s="35" t="inlineStr">
        <is>
          <t>Keep URL if possible, else 301</t>
        </is>
      </c>
      <c r="H46" s="36" t="inlineStr">
        <is>
          <t>/excavation-in-construction</t>
        </is>
      </c>
      <c r="I46" s="39" t="inlineStr">
        <is>
          <t>URL PRESERVED as-is. 1,273 impressions, 0 clicks. Add CTAs or consolidate into excavation service page.</t>
        </is>
      </c>
    </row>
    <row r="47" ht="15" customHeight="1" s="25">
      <c r="A47" s="40" t="inlineStr">
        <is>
          <t>B</t>
        </is>
      </c>
      <c r="B47" s="35" t="inlineStr">
        <is>
          <t>/common-asphalt-repair-techniques/</t>
        </is>
      </c>
      <c r="C47" s="32" t="n">
        <v>0</v>
      </c>
      <c r="D47" s="32" t="n">
        <v>1058</v>
      </c>
      <c r="E47" s="33" t="n">
        <v>0</v>
      </c>
      <c r="F47" s="34" t="n">
        <v>55.2</v>
      </c>
      <c r="G47" s="35" t="inlineStr">
        <is>
          <t>Keep URL if possible, else 301</t>
        </is>
      </c>
      <c r="H47" s="36" t="inlineStr">
        <is>
          <t>/common-asphalt-repair-techniques</t>
        </is>
      </c>
      <c r="I47" s="39" t="inlineStr">
        <is>
          <t>URL PRESERVED as-is. 1,058 impressions, 0 clicks. Add CTAs or consolidate.</t>
        </is>
      </c>
    </row>
    <row r="48" ht="15" customHeight="1" s="25">
      <c r="A48" s="41" t="inlineStr">
        <is>
          <t>C</t>
        </is>
      </c>
      <c r="B48" s="35" t="inlineStr">
        <is>
          <t>/road-maintenance/</t>
        </is>
      </c>
      <c r="C48" s="32" t="n">
        <v>2</v>
      </c>
      <c r="D48" s="32" t="n">
        <v>648</v>
      </c>
      <c r="E48" s="33" t="n">
        <v>0.0031</v>
      </c>
      <c r="F48" s="34" t="n">
        <v>21.7</v>
      </c>
      <c r="G48" s="35" t="inlineStr">
        <is>
          <t>301 to closest new page</t>
        </is>
      </c>
      <c r="H48" s="36" t="inlineStr">
        <is>
          <t>/services/road-works/road-maintenance</t>
        </is>
      </c>
      <c r="I48" s="38" t="n"/>
    </row>
    <row r="49" ht="15" customHeight="1" s="25">
      <c r="A49" s="41" t="inlineStr">
        <is>
          <t>C</t>
        </is>
      </c>
      <c r="B49" s="35" t="inlineStr">
        <is>
          <t>/cut-and-fill-services-dubai/</t>
        </is>
      </c>
      <c r="C49" s="32" t="n">
        <v>2</v>
      </c>
      <c r="D49" s="32" t="n">
        <v>592</v>
      </c>
      <c r="E49" s="33" t="n">
        <v>0.0034</v>
      </c>
      <c r="F49" s="34" t="n">
        <v>41.9</v>
      </c>
      <c r="G49" s="35" t="inlineStr">
        <is>
          <t>301 to closest new page</t>
        </is>
      </c>
      <c r="H49" s="36" t="inlineStr">
        <is>
          <t>/services/earth-works/cut-and-fill</t>
        </is>
      </c>
      <c r="I49" s="38" t="n"/>
    </row>
    <row r="50" ht="15" customHeight="1" s="25">
      <c r="A50" s="41" t="inlineStr">
        <is>
          <t>C</t>
        </is>
      </c>
      <c r="B50" s="35" t="inlineStr">
        <is>
          <t>/roads-and-infrastructure-works-dubai/</t>
        </is>
      </c>
      <c r="C50" s="32" t="n">
        <v>2</v>
      </c>
      <c r="D50" s="32" t="n">
        <v>372</v>
      </c>
      <c r="E50" s="33" t="n">
        <v>0.0054</v>
      </c>
      <c r="F50" s="34" t="n">
        <v>17.7</v>
      </c>
      <c r="G50" s="35" t="inlineStr">
        <is>
          <t>301 to closest new page</t>
        </is>
      </c>
      <c r="H50" s="36" t="inlineStr">
        <is>
          <t>/services/road-works</t>
        </is>
      </c>
      <c r="I50" s="38" t="n"/>
    </row>
    <row r="51" ht="15" customHeight="1" s="25">
      <c r="A51" s="41" t="inlineStr">
        <is>
          <t>C</t>
        </is>
      </c>
      <c r="B51" s="35" t="inlineStr">
        <is>
          <t>/trenching/</t>
        </is>
      </c>
      <c r="C51" s="32" t="n">
        <v>2</v>
      </c>
      <c r="D51" s="32" t="n">
        <v>304</v>
      </c>
      <c r="E51" s="33" t="n">
        <v>0.0066</v>
      </c>
      <c r="F51" s="34" t="n">
        <v>13.7</v>
      </c>
      <c r="G51" s="35" t="inlineStr">
        <is>
          <t>301 to closest new page</t>
        </is>
      </c>
      <c r="H51" s="36" t="inlineStr">
        <is>
          <t>/services/utilities/utilities-shifting</t>
        </is>
      </c>
      <c r="I51" s="38" t="n"/>
    </row>
    <row r="52" ht="15" customHeight="1" s="25">
      <c r="A52" s="41" t="inlineStr">
        <is>
          <t>C</t>
        </is>
      </c>
      <c r="B52" s="35" t="inlineStr">
        <is>
          <t>/lane-closure-permits/</t>
        </is>
      </c>
      <c r="C52" s="32" t="n">
        <v>2</v>
      </c>
      <c r="D52" s="32" t="n">
        <v>287</v>
      </c>
      <c r="E52" s="33" t="n">
        <v>0.007</v>
      </c>
      <c r="F52" s="34" t="n">
        <v>8.800000000000001</v>
      </c>
      <c r="G52" s="35" t="inlineStr">
        <is>
          <t>301 to closest new page</t>
        </is>
      </c>
      <c r="H52" s="36" t="inlineStr">
        <is>
          <t>/services/traffic-management/lane-closure-permits</t>
        </is>
      </c>
      <c r="I52" s="38" t="n"/>
    </row>
    <row r="53" ht="15" customHeight="1" s="25">
      <c r="A53" s="41" t="inlineStr">
        <is>
          <t>C</t>
        </is>
      </c>
      <c r="B53" s="35" t="inlineStr">
        <is>
          <t>/future-of-road-construction-dubai/</t>
        </is>
      </c>
      <c r="C53" s="32" t="n">
        <v>2</v>
      </c>
      <c r="D53" s="32" t="n">
        <v>150</v>
      </c>
      <c r="E53" s="33" t="n">
        <v>0.0133</v>
      </c>
      <c r="F53" s="34" t="n">
        <v>11.8</v>
      </c>
      <c r="G53" s="35" t="inlineStr">
        <is>
          <t>301 to closest new page</t>
        </is>
      </c>
      <c r="H53" s="36" t="inlineStr">
        <is>
          <t>/future-of-road-construction-dubai</t>
        </is>
      </c>
      <c r="I53" s="39" t="inlineStr">
        <is>
          <t>URL PRESERVED as-is.</t>
        </is>
      </c>
    </row>
    <row r="54" ht="23.85" customHeight="1" s="25">
      <c r="A54" s="41" t="inlineStr">
        <is>
          <t>C</t>
        </is>
      </c>
      <c r="B54" s="35" t="inlineStr">
        <is>
          <t>/earth-works-fujairah/</t>
        </is>
      </c>
      <c r="C54" s="32" t="n">
        <v>2</v>
      </c>
      <c r="D54" s="32" t="n">
        <v>43</v>
      </c>
      <c r="E54" s="33" t="n">
        <v>0.0465</v>
      </c>
      <c r="F54" s="34" t="n">
        <v>21.9</v>
      </c>
      <c r="G54" s="35" t="inlineStr">
        <is>
          <t>301 to closest new page</t>
        </is>
      </c>
      <c r="H54" s="36" t="inlineStr">
        <is>
          <t>/services/earth-works/fujairah</t>
        </is>
      </c>
      <c r="I54" s="38" t="inlineStr">
        <is>
          <t>CTR 4.65%. Keep URL despite low volume - Fujairah content outperforms everything.</t>
        </is>
      </c>
    </row>
    <row r="55" ht="15" customHeight="1" s="25">
      <c r="A55" s="41" t="inlineStr">
        <is>
          <t>C</t>
        </is>
      </c>
      <c r="B55" s="35" t="inlineStr">
        <is>
          <t>/pipeline-maintenance-dubai/</t>
        </is>
      </c>
      <c r="C55" s="32" t="n">
        <v>1</v>
      </c>
      <c r="D55" s="32" t="n">
        <v>289</v>
      </c>
      <c r="E55" s="33" t="n">
        <v>0.0035</v>
      </c>
      <c r="F55" s="34" t="n">
        <v>27.8</v>
      </c>
      <c r="G55" s="35" t="inlineStr">
        <is>
          <t>301 to closest new page</t>
        </is>
      </c>
      <c r="H55" s="36" t="inlineStr">
        <is>
          <t>/services/utilities/rta-service-protection</t>
        </is>
      </c>
      <c r="I55" s="38" t="n"/>
    </row>
    <row r="56" ht="15" customHeight="1" s="25">
      <c r="A56" s="41" t="inlineStr">
        <is>
          <t>C</t>
        </is>
      </c>
      <c r="B56" s="35" t="inlineStr">
        <is>
          <t>/mountain-removal-services-dubai/</t>
        </is>
      </c>
      <c r="C56" s="32" t="n">
        <v>1</v>
      </c>
      <c r="D56" s="32" t="n">
        <v>234</v>
      </c>
      <c r="E56" s="33" t="n">
        <v>0.0043</v>
      </c>
      <c r="F56" s="34" t="n">
        <v>69.8</v>
      </c>
      <c r="G56" s="35" t="inlineStr">
        <is>
          <t>301 to closest new page</t>
        </is>
      </c>
      <c r="H56" s="36" t="inlineStr">
        <is>
          <t>/services/earth-works/excavation</t>
        </is>
      </c>
      <c r="I56" s="38" t="n"/>
    </row>
    <row r="57" ht="15" customHeight="1" s="25">
      <c r="A57" s="41" t="inlineStr">
        <is>
          <t>C</t>
        </is>
      </c>
      <c r="B57" s="35" t="inlineStr">
        <is>
          <t>/rta-road-projects-dubai-traffic/</t>
        </is>
      </c>
      <c r="C57" s="32" t="n">
        <v>1</v>
      </c>
      <c r="D57" s="32" t="n">
        <v>133</v>
      </c>
      <c r="E57" s="33" t="n">
        <v>0.0075</v>
      </c>
      <c r="F57" s="34" t="n">
        <v>19.9</v>
      </c>
      <c r="G57" s="35" t="inlineStr">
        <is>
          <t>301 to closest new page</t>
        </is>
      </c>
      <c r="H57" s="36" t="inlineStr">
        <is>
          <t>/services/traffic-management/dubai</t>
        </is>
      </c>
      <c r="I57" s="38" t="n"/>
    </row>
    <row r="58" ht="15" customHeight="1" s="25">
      <c r="A58" s="41" t="inlineStr">
        <is>
          <t>C</t>
        </is>
      </c>
      <c r="B58" s="35" t="inlineStr">
        <is>
          <t>/gravel-road-construction-dubai/</t>
        </is>
      </c>
      <c r="C58" s="32" t="n">
        <v>1</v>
      </c>
      <c r="D58" s="32" t="n">
        <v>129</v>
      </c>
      <c r="E58" s="33" t="n">
        <v>0.0078</v>
      </c>
      <c r="F58" s="34" t="n">
        <v>16.4</v>
      </c>
      <c r="G58" s="35" t="inlineStr">
        <is>
          <t>301 to closest new page</t>
        </is>
      </c>
      <c r="H58" s="36" t="inlineStr">
        <is>
          <t>/services/road-works/road-base-laying</t>
        </is>
      </c>
      <c r="I58" s="38" t="n"/>
    </row>
    <row r="59" ht="15" customHeight="1" s="25">
      <c r="A59" s="41" t="inlineStr">
        <is>
          <t>C</t>
        </is>
      </c>
      <c r="B59" s="35" t="inlineStr">
        <is>
          <t>/construction-material-supply-dubai/</t>
        </is>
      </c>
      <c r="C59" s="32" t="n">
        <v>1</v>
      </c>
      <c r="D59" s="32" t="n">
        <v>84</v>
      </c>
      <c r="E59" s="33" t="n">
        <v>0.0119</v>
      </c>
      <c r="F59" s="34" t="n">
        <v>33.3</v>
      </c>
      <c r="G59" s="35" t="inlineStr">
        <is>
          <t>301 to closest new page</t>
        </is>
      </c>
      <c r="H59" s="36" t="inlineStr">
        <is>
          <t>/services/supply</t>
        </is>
      </c>
      <c r="I59" s="39" t="inlineStr">
        <is>
          <t>NEW PAGE to be built.</t>
        </is>
      </c>
    </row>
    <row r="60" ht="15" customHeight="1" s="25">
      <c r="A60" s="41" t="inlineStr">
        <is>
          <t>C</t>
        </is>
      </c>
      <c r="B60" s="35" t="inlineStr">
        <is>
          <t>/dot-approved-entry-and-exit/</t>
        </is>
      </c>
      <c r="C60" s="32" t="n">
        <v>1</v>
      </c>
      <c r="D60" s="32" t="n">
        <v>53</v>
      </c>
      <c r="E60" s="33" t="n">
        <v>0.0189</v>
      </c>
      <c r="F60" s="34" t="n">
        <v>5.9</v>
      </c>
      <c r="G60" s="35" t="inlineStr">
        <is>
          <t>301 to closest new page</t>
        </is>
      </c>
      <c r="H60" s="36" t="inlineStr">
        <is>
          <t>/services/utilities/rta-approved-entry-exit-works</t>
        </is>
      </c>
      <c r="I60" s="38" t="n"/>
    </row>
    <row r="61" ht="15" customHeight="1" s="25">
      <c r="A61" s="41" t="inlineStr">
        <is>
          <t>C</t>
        </is>
      </c>
      <c r="B61" s="35" t="inlineStr">
        <is>
          <t>/yard-preparation-fujairah/</t>
        </is>
      </c>
      <c r="C61" s="32" t="n">
        <v>1</v>
      </c>
      <c r="D61" s="32" t="n">
        <v>31</v>
      </c>
      <c r="E61" s="33" t="n">
        <v>0.0323</v>
      </c>
      <c r="F61" s="34" t="n">
        <v>15.3</v>
      </c>
      <c r="G61" s="35" t="inlineStr">
        <is>
          <t>301 to closest new page</t>
        </is>
      </c>
      <c r="H61" s="36" t="inlineStr">
        <is>
          <t>/services/earth-works/fujairah</t>
        </is>
      </c>
      <c r="I61" s="38" t="inlineStr">
        <is>
          <t>CTR 3.23% and directly on-strategy (yards). Keep URL, expand.</t>
        </is>
      </c>
    </row>
    <row r="62" ht="15" customHeight="1" s="25">
      <c r="A62" s="41" t="inlineStr">
        <is>
          <t>C</t>
        </is>
      </c>
      <c r="B62" s="35" t="inlineStr">
        <is>
          <t>/smart-parking-contractor-dubai/</t>
        </is>
      </c>
      <c r="C62" s="32" t="n">
        <v>0</v>
      </c>
      <c r="D62" s="32" t="n">
        <v>253</v>
      </c>
      <c r="E62" s="33" t="n">
        <v>0</v>
      </c>
      <c r="F62" s="34" t="n">
        <v>34.2</v>
      </c>
      <c r="G62" s="35" t="inlineStr">
        <is>
          <t>301 to closest new page</t>
        </is>
      </c>
      <c r="H62" s="36" t="inlineStr">
        <is>
          <t>/services/road-works/parking-construction</t>
        </is>
      </c>
      <c r="I62" s="38" t="inlineStr">
        <is>
          <t>253 impressions, 0 clicks. Fold into parking construction page.</t>
        </is>
      </c>
    </row>
    <row r="63" ht="15" customHeight="1" s="25">
      <c r="A63" s="42" t="inlineStr">
        <is>
          <t>D</t>
        </is>
      </c>
      <c r="B63" s="35" t="inlineStr">
        <is>
          <t>/marine-work-services-dubai/</t>
        </is>
      </c>
      <c r="C63" s="32" t="n">
        <v>0</v>
      </c>
      <c r="D63" s="32" t="n">
        <v>164</v>
      </c>
      <c r="E63" s="33" t="n">
        <v>0</v>
      </c>
      <c r="F63" s="34" t="n">
        <v>35.4</v>
      </c>
      <c r="G63" s="35" t="inlineStr">
        <is>
          <t>301 to parent or let 404</t>
        </is>
      </c>
      <c r="H63" s="36" t="inlineStr">
        <is>
          <t>/services</t>
        </is>
      </c>
      <c r="I63" s="38" t="inlineStr">
        <is>
          <t>0 clicks. Drop unless you still do marine work.</t>
        </is>
      </c>
    </row>
    <row r="64" ht="15" customHeight="1" s="25">
      <c r="A64" s="42" t="inlineStr">
        <is>
          <t>D</t>
        </is>
      </c>
      <c r="B64" s="35" t="inlineStr">
        <is>
          <t>/type-of-asphalt-mix/</t>
        </is>
      </c>
      <c r="C64" s="32" t="n">
        <v>0</v>
      </c>
      <c r="D64" s="32" t="n">
        <v>118</v>
      </c>
      <c r="E64" s="33" t="n">
        <v>0</v>
      </c>
      <c r="F64" s="34" t="n">
        <v>24.8</v>
      </c>
      <c r="G64" s="35" t="inlineStr">
        <is>
          <t>301 to parent or let 404</t>
        </is>
      </c>
      <c r="H64" s="36" t="inlineStr">
        <is>
          <t>/type-of-asphalt-mix</t>
        </is>
      </c>
      <c r="I64" s="39" t="inlineStr">
        <is>
          <t>URL PRESERVED as-is.</t>
        </is>
      </c>
    </row>
    <row r="65" ht="15" customHeight="1" s="25">
      <c r="A65" s="42" t="inlineStr">
        <is>
          <t>D</t>
        </is>
      </c>
      <c r="B65" s="35" t="inlineStr">
        <is>
          <t>/rta-highway-contractors-dubai/</t>
        </is>
      </c>
      <c r="C65" s="32" t="n">
        <v>0</v>
      </c>
      <c r="D65" s="32" t="n">
        <v>87</v>
      </c>
      <c r="E65" s="33" t="n">
        <v>0</v>
      </c>
      <c r="F65" s="34" t="n">
        <v>28.9</v>
      </c>
      <c r="G65" s="35" t="inlineStr">
        <is>
          <t>301 to parent or let 404</t>
        </is>
      </c>
      <c r="H65" s="36" t="inlineStr">
        <is>
          <t>/services/road-works/dubai</t>
        </is>
      </c>
      <c r="I65" s="38" t="n"/>
    </row>
    <row r="66" ht="15" customHeight="1" s="25">
      <c r="A66" s="42" t="inlineStr">
        <is>
          <t>D</t>
        </is>
      </c>
      <c r="B66" s="35" t="inlineStr">
        <is>
          <t>/blog/</t>
        </is>
      </c>
      <c r="C66" s="32" t="n">
        <v>0</v>
      </c>
      <c r="D66" s="32" t="n">
        <v>29</v>
      </c>
      <c r="E66" s="33" t="n">
        <v>0</v>
      </c>
      <c r="F66" s="34" t="n">
        <v>14.7</v>
      </c>
      <c r="G66" s="35" t="inlineStr">
        <is>
          <t>301 to parent or let 404</t>
        </is>
      </c>
      <c r="H66" s="36" t="inlineStr">
        <is>
          <t>/guides</t>
        </is>
      </c>
      <c r="I66" s="39" t="inlineStr">
        <is>
          <t>NEW PAGE to be built. Keep as hub if you keep publishing.</t>
        </is>
      </c>
    </row>
    <row r="67" ht="15" customHeight="1" s="25">
      <c r="A67" s="42" t="inlineStr">
        <is>
          <t>D</t>
        </is>
      </c>
      <c r="B67" s="35" t="inlineStr">
        <is>
          <t>/curb-stones-abu-dhabi/</t>
        </is>
      </c>
      <c r="C67" s="32" t="n">
        <v>0</v>
      </c>
      <c r="D67" s="32" t="n">
        <v>16</v>
      </c>
      <c r="E67" s="33" t="n">
        <v>0</v>
      </c>
      <c r="F67" s="34" t="n">
        <v>7.2</v>
      </c>
      <c r="G67" s="35" t="inlineStr">
        <is>
          <t>301 to parent or let 404</t>
        </is>
      </c>
      <c r="H67" s="36" t="inlineStr">
        <is>
          <t>/services/road-works/kerbstones</t>
        </is>
      </c>
      <c r="I67" s="38" t="n"/>
    </row>
    <row r="68" ht="15" customHeight="1" s="25">
      <c r="A68" s="42" t="inlineStr">
        <is>
          <t>D</t>
        </is>
      </c>
      <c r="B68" s="35" t="inlineStr">
        <is>
          <t>/category/construction-equipments/</t>
        </is>
      </c>
      <c r="C68" s="32" t="n">
        <v>0</v>
      </c>
      <c r="D68" s="32" t="n">
        <v>12</v>
      </c>
      <c r="E68" s="33" t="n">
        <v>0</v>
      </c>
      <c r="F68" s="34" t="n">
        <v>26.3</v>
      </c>
      <c r="G68" s="35" t="inlineStr">
        <is>
          <t>301 to parent or let 404</t>
        </is>
      </c>
      <c r="H68" s="36" t="inlineStr">
        <is>
          <t>/services</t>
        </is>
      </c>
      <c r="I68" s="38" t="n"/>
    </row>
    <row r="69" ht="15" customHeight="1" s="25">
      <c r="A69" s="42" t="inlineStr">
        <is>
          <t>D</t>
        </is>
      </c>
      <c r="B69" s="35" t="inlineStr">
        <is>
          <t>/parking-areas-abu-dhabi/</t>
        </is>
      </c>
      <c r="C69" s="32" t="n">
        <v>0</v>
      </c>
      <c r="D69" s="32" t="n">
        <v>5</v>
      </c>
      <c r="E69" s="33" t="n">
        <v>0</v>
      </c>
      <c r="F69" s="34" t="n">
        <v>7.8</v>
      </c>
      <c r="G69" s="35" t="inlineStr">
        <is>
          <t>301 to parent or let 404</t>
        </is>
      </c>
      <c r="H69" s="36" t="inlineStr">
        <is>
          <t>/services/road-works/parking-construction</t>
        </is>
      </c>
      <c r="I69" s="38" t="n"/>
    </row>
    <row r="70" ht="15" customHeight="1" s="25">
      <c r="A70" s="42" t="inlineStr">
        <is>
          <t>D</t>
        </is>
      </c>
      <c r="B70" s="35" t="inlineStr">
        <is>
          <t>/asphalt-road-base-ajman/</t>
        </is>
      </c>
      <c r="C70" s="32" t="n">
        <v>0</v>
      </c>
      <c r="D70" s="32" t="n">
        <v>4</v>
      </c>
      <c r="E70" s="33" t="n">
        <v>0</v>
      </c>
      <c r="F70" s="34" t="n">
        <v>4</v>
      </c>
      <c r="G70" s="35" t="inlineStr">
        <is>
          <t>301 to parent or let 404</t>
        </is>
      </c>
      <c r="H70" s="36" t="inlineStr">
        <is>
          <t>/services/road-works/ajman</t>
        </is>
      </c>
      <c r="I70" s="38" t="n"/>
    </row>
    <row r="71" ht="15" customHeight="1" s="25">
      <c r="A71" s="42" t="inlineStr">
        <is>
          <t>D</t>
        </is>
      </c>
      <c r="B71" s="35" t="inlineStr">
        <is>
          <t>/road-construction-ajman/</t>
        </is>
      </c>
      <c r="C71" s="32" t="n">
        <v>0</v>
      </c>
      <c r="D71" s="32" t="n">
        <v>4</v>
      </c>
      <c r="E71" s="33" t="n">
        <v>0</v>
      </c>
      <c r="F71" s="34" t="n">
        <v>11.2</v>
      </c>
      <c r="G71" s="35" t="inlineStr">
        <is>
          <t>301 to parent or let 404</t>
        </is>
      </c>
      <c r="H71" s="36" t="inlineStr">
        <is>
          <t>/services/road-works/ajman</t>
        </is>
      </c>
      <c r="I71" s="38" t="n"/>
    </row>
    <row r="72" ht="15" customHeight="1" s="25">
      <c r="A72" s="42" t="inlineStr">
        <is>
          <t>D</t>
        </is>
      </c>
      <c r="B72" s="35" t="inlineStr">
        <is>
          <t>/category/construction/</t>
        </is>
      </c>
      <c r="C72" s="32" t="n">
        <v>0</v>
      </c>
      <c r="D72" s="32" t="n">
        <v>3</v>
      </c>
      <c r="E72" s="33" t="n">
        <v>0</v>
      </c>
      <c r="F72" s="34" t="n">
        <v>7.3</v>
      </c>
      <c r="G72" s="35" t="inlineStr">
        <is>
          <t>301 to parent or let 404</t>
        </is>
      </c>
      <c r="H72" s="36" t="inlineStr">
        <is>
          <t>/services</t>
        </is>
      </c>
      <c r="I72" s="38" t="n"/>
    </row>
    <row r="73" ht="15" customHeight="1" s="25">
      <c r="A73" s="42" t="inlineStr">
        <is>
          <t>D</t>
        </is>
      </c>
      <c r="B73" s="35" t="inlineStr">
        <is>
          <t>/asphalt-road-abu-dhabi/</t>
        </is>
      </c>
      <c r="C73" s="32" t="n">
        <v>0</v>
      </c>
      <c r="D73" s="32" t="n">
        <v>2</v>
      </c>
      <c r="E73" s="33" t="n">
        <v>0</v>
      </c>
      <c r="F73" s="34" t="n">
        <v>72</v>
      </c>
      <c r="G73" s="35" t="inlineStr">
        <is>
          <t>301 to parent or let 404</t>
        </is>
      </c>
      <c r="H73" s="36" t="inlineStr">
        <is>
          <t>/services/road-works/abu-dhabi</t>
        </is>
      </c>
      <c r="I73" s="38" t="n"/>
    </row>
    <row r="74" ht="15" customHeight="1" s="25">
      <c r="A74" s="42" t="inlineStr">
        <is>
          <t>D</t>
        </is>
      </c>
      <c r="B74" s="35" t="inlineStr">
        <is>
          <t>/landscaping-services-dubai/</t>
        </is>
      </c>
      <c r="C74" s="32" t="n">
        <v>0</v>
      </c>
      <c r="D74" s="32" t="n">
        <v>1</v>
      </c>
      <c r="E74" s="33" t="n">
        <v>0</v>
      </c>
      <c r="F74" s="34" t="n">
        <v>7</v>
      </c>
      <c r="G74" s="35" t="inlineStr">
        <is>
          <t>301 to parent or let 404</t>
        </is>
      </c>
      <c r="H74" s="36" t="inlineStr">
        <is>
          <t>/services</t>
        </is>
      </c>
      <c r="I74" s="38" t="n"/>
    </row>
    <row r="75" ht="15" customHeight="1" s="25">
      <c r="A75" s="42" t="inlineStr">
        <is>
          <t>D</t>
        </is>
      </c>
      <c r="B75" s="35" t="inlineStr">
        <is>
          <t>/road-construction-ras-al-khaimah/</t>
        </is>
      </c>
      <c r="C75" s="32" t="n">
        <v>0</v>
      </c>
      <c r="D75" s="32" t="n">
        <v>1</v>
      </c>
      <c r="E75" s="33" t="n">
        <v>0</v>
      </c>
      <c r="F75" s="34" t="n">
        <v>10</v>
      </c>
      <c r="G75" s="35" t="inlineStr">
        <is>
          <t>301 to parent or let 404</t>
        </is>
      </c>
      <c r="H75" s="36" t="inlineStr">
        <is>
          <t>/services/road-works/ras-al-khaimah</t>
        </is>
      </c>
      <c r="I75" s="38" t="n"/>
    </row>
  </sheetData>
  <autoFilter ref="A1:I7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4" min="1" max="1"/>
    <col width="40" customWidth="1" style="24" min="2" max="2"/>
    <col width="10" customWidth="1" style="24" min="3" max="4"/>
    <col width="13" customWidth="1" style="24" min="5" max="5"/>
    <col width="12" customWidth="1" style="24" min="6" max="6"/>
  </cols>
  <sheetData>
    <row r="1" ht="15" customHeight="1" s="25">
      <c r="A1" s="43" t="inlineStr">
        <is>
          <t>Tier</t>
        </is>
      </c>
      <c r="B1" s="43" t="inlineStr">
        <is>
          <t>Description</t>
        </is>
      </c>
      <c r="C1" s="43" t="inlineStr">
        <is>
          <t>URLs</t>
        </is>
      </c>
      <c r="D1" s="43" t="inlineStr">
        <is>
          <t>Clicks</t>
        </is>
      </c>
      <c r="E1" s="43" t="inlineStr">
        <is>
          <t>Impressions</t>
        </is>
      </c>
      <c r="F1" s="43" t="inlineStr">
        <is>
          <t>% of clicks</t>
        </is>
      </c>
    </row>
    <row r="2" ht="15" customHeight="1" s="25">
      <c r="A2" s="44" t="inlineStr">
        <is>
          <t>A</t>
        </is>
      </c>
      <c r="B2" s="44" t="inlineStr">
        <is>
          <t>Must preserve - keep URL identical</t>
        </is>
      </c>
      <c r="C2" s="45">
        <f>COUNTIF('Redirect Map'!$A$2:$A$75,$A2)</f>
        <v/>
      </c>
      <c r="D2" s="45">
        <f>SUMIF('Redirect Map'!$A$2:$A$75,$A2,'Redirect Map'!$C$2:$C$75)</f>
        <v/>
      </c>
      <c r="E2" s="45">
        <f>SUMIF('Redirect Map'!$A$2:$A$75,$A2,'Redirect Map'!$D$2:$D$75)</f>
        <v/>
      </c>
      <c r="F2" s="46">
        <f>IFERROR($D2/$D$6,0)</f>
        <v/>
      </c>
    </row>
    <row r="3" ht="15" customHeight="1" s="25">
      <c r="A3" s="44" t="inlineStr">
        <is>
          <t>B</t>
        </is>
      </c>
      <c r="B3" s="44" t="inlineStr">
        <is>
          <t>Preserve - keep or 301 to closest</t>
        </is>
      </c>
      <c r="C3" s="45">
        <f>COUNTIF('Redirect Map'!$A$2:$A$75,$A3)</f>
        <v/>
      </c>
      <c r="D3" s="45">
        <f>SUMIF('Redirect Map'!$A$2:$A$75,$A3,'Redirect Map'!$C$2:$C$75)</f>
        <v/>
      </c>
      <c r="E3" s="45">
        <f>SUMIF('Redirect Map'!$A$2:$A$75,$A3,'Redirect Map'!$D$2:$D$75)</f>
        <v/>
      </c>
      <c r="F3" s="46">
        <f>IFERROR($D3/$D$6,0)</f>
        <v/>
      </c>
    </row>
    <row r="4" ht="15" customHeight="1" s="25">
      <c r="A4" s="44" t="inlineStr">
        <is>
          <t>C</t>
        </is>
      </c>
      <c r="B4" s="44" t="inlineStr">
        <is>
          <t>Redirect - 301 to closest new page</t>
        </is>
      </c>
      <c r="C4" s="45">
        <f>COUNTIF('Redirect Map'!$A$2:$A$75,$A4)</f>
        <v/>
      </c>
      <c r="D4" s="45">
        <f>SUMIF('Redirect Map'!$A$2:$A$75,$A4,'Redirect Map'!$C$2:$C$75)</f>
        <v/>
      </c>
      <c r="E4" s="45">
        <f>SUMIF('Redirect Map'!$A$2:$A$75,$A4,'Redirect Map'!$D$2:$D$75)</f>
        <v/>
      </c>
      <c r="F4" s="46">
        <f>IFERROR($D4/$D$6,0)</f>
        <v/>
      </c>
    </row>
    <row r="5" ht="15" customHeight="1" s="25">
      <c r="A5" s="44" t="inlineStr">
        <is>
          <t>D</t>
        </is>
      </c>
      <c r="B5" s="44" t="inlineStr">
        <is>
          <t>Low value - 301 to parent or 404</t>
        </is>
      </c>
      <c r="C5" s="45">
        <f>COUNTIF('Redirect Map'!$A$2:$A$75,$A5)</f>
        <v/>
      </c>
      <c r="D5" s="45">
        <f>SUMIF('Redirect Map'!$A$2:$A$75,$A5,'Redirect Map'!$C$2:$C$75)</f>
        <v/>
      </c>
      <c r="E5" s="45">
        <f>SUMIF('Redirect Map'!$A$2:$A$75,$A5,'Redirect Map'!$D$2:$D$75)</f>
        <v/>
      </c>
      <c r="F5" s="46">
        <f>IFERROR($D5/$D$6,0)</f>
        <v/>
      </c>
    </row>
    <row r="6" ht="15" customHeight="1" s="25">
      <c r="A6" s="47" t="inlineStr">
        <is>
          <t>TOTAL</t>
        </is>
      </c>
      <c r="B6" s="47" t="n"/>
      <c r="C6" s="48">
        <f>SUM(C2:C5)</f>
        <v/>
      </c>
      <c r="D6" s="48">
        <f>SUM(D2:D5)</f>
        <v/>
      </c>
      <c r="E6" s="48">
        <f>SUM(E2:E5)</f>
        <v/>
      </c>
      <c r="F6" s="49">
        <f>IFERROR(D6/D6,0)</f>
        <v/>
      </c>
    </row>
    <row r="7" ht="15" customHeight="1" s="25">
      <c r="A7" s="44" t="n"/>
      <c r="B7" s="44" t="n"/>
      <c r="C7" s="45" t="n"/>
      <c r="D7" s="45" t="n"/>
      <c r="E7" s="45" t="n"/>
      <c r="F7" s="46" t="n"/>
    </row>
    <row r="8" ht="15" customHeight="1" s="25">
      <c r="A8" s="47" t="inlineStr">
        <is>
          <t>Mapped so far</t>
        </is>
      </c>
      <c r="B8" s="44" t="n"/>
      <c r="C8" s="45">
        <f>COUNTIF('Redirect Map'!$H$2:$H$75,"?*")</f>
        <v/>
      </c>
      <c r="D8" s="45" t="n"/>
      <c r="E8" s="45" t="n"/>
      <c r="F8" s="46" t="n"/>
    </row>
    <row r="9" ht="15" customHeight="1" s="25">
      <c r="A9" s="47" t="inlineStr">
        <is>
          <t>Still to map</t>
        </is>
      </c>
      <c r="B9" s="44" t="n"/>
      <c r="C9" s="45">
        <f>C6-C8</f>
        <v/>
      </c>
      <c r="D9" s="45" t="n"/>
      <c r="E9" s="45" t="n"/>
      <c r="F9" s="46" t="n"/>
    </row>
    <row r="11" ht="15" customHeight="1" s="25">
      <c r="A11" s="50" t="inlineStr">
        <is>
          <t>Source: Google Search Console export, earthmoversint.com, 29 May - 28 Aug 2026.</t>
        </is>
      </c>
    </row>
    <row r="12" ht="15" customHeight="1" s="25">
      <c r="A12" s="50" t="inlineStr">
        <is>
          <t>Tier thresholds set by Claude: A &gt;=10 clicks; B &gt;=3 clicks or &gt;=800 impressions; C &gt;=1 click or &gt;=200 impressions; D below that.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2026-08-31T06:16:29Z</dcterms:created>
  <dcterms:modified xsi:type="dcterms:W3CDTF">2026-08-31T06:45:46Z</dcterms:modified>
  <cp:revision>0</cp:revision>
</cp:coreProperties>
</file>